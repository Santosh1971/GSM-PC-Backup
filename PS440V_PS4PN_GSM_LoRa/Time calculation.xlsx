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AS Agri Systems\101_Released_Hardware\9 PowerSupply-440V-5V\PS440V_to_5V_Relay_Timer\"/>
    </mc:Choice>
  </mc:AlternateContent>
  <xr:revisionPtr revIDLastSave="0" documentId="13_ncr:1_{DA45D56B-71C4-48CC-A97C-F451D131982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10" i="1"/>
  <c r="E14" i="1" l="1"/>
  <c r="F14" i="1" s="1"/>
  <c r="G14" i="1" s="1"/>
  <c r="E15" i="1" l="1"/>
  <c r="F15" i="1" s="1"/>
  <c r="G15" i="1" s="1"/>
</calcChain>
</file>

<file path=xl/sharedStrings.xml><?xml version="1.0" encoding="utf-8"?>
<sst xmlns="http://schemas.openxmlformats.org/spreadsheetml/2006/main" count="60" uniqueCount="52">
  <si>
    <t>T</t>
  </si>
  <si>
    <t>2.2*R*C*(N-1)</t>
  </si>
  <si>
    <t>N= counter stage</t>
  </si>
  <si>
    <t>R</t>
  </si>
  <si>
    <t>MicroFarad</t>
  </si>
  <si>
    <t>C</t>
  </si>
  <si>
    <t>N4</t>
  </si>
  <si>
    <t>N14</t>
  </si>
  <si>
    <t>T4</t>
  </si>
  <si>
    <t>T14</t>
  </si>
  <si>
    <t>Sec</t>
  </si>
  <si>
    <t>min</t>
  </si>
  <si>
    <t>hour</t>
  </si>
  <si>
    <t>Calculating RC Timing Components</t>
  </si>
  <si>
    <t>It can be done through a formula, but the manual way is much simpler and accurate. It can be done as explained below:</t>
  </si>
  <si>
    <r>
      <t>1. Connect any arbitrarily </t>
    </r>
    <r>
      <rPr>
        <b/>
        <sz val="13"/>
        <color rgb="FF444444"/>
        <rFont val="Arial"/>
        <family val="2"/>
      </rPr>
      <t>selected resistor</t>
    </r>
    <r>
      <rPr>
        <sz val="13"/>
        <color rgb="FF444444"/>
        <rFont val="Arial"/>
        <family val="2"/>
      </rPr>
      <t> above 100K in place of P1/R2 in the upper circuit.</t>
    </r>
  </si>
  <si>
    <r>
      <t>2. Switch ON and carefully note down after how much time pin#3 of upper IC 4060 becomes HIGH. This will be your "</t>
    </r>
    <r>
      <rPr>
        <b/>
        <sz val="13"/>
        <color rgb="FF444444"/>
        <rFont val="Arial"/>
        <family val="2"/>
      </rPr>
      <t>sample delay</t>
    </r>
    <r>
      <rPr>
        <sz val="13"/>
        <color rgb="FF444444"/>
        <rFont val="Arial"/>
        <family val="2"/>
      </rPr>
      <t>".</t>
    </r>
  </si>
  <si>
    <t>3. Once this is noted, the other desired time delays could be calculated using the following simple cross multiplication:</t>
  </si>
  <si>
    <t>Sample Delay / Desired Delay = Selected Resistor / Unknown Resistor</t>
  </si>
  <si>
    <t>For example if you find the pin3 becoming high after 300 seconds, this becomes your sample delay value.</t>
  </si>
  <si>
    <t>Now, we have the sample delay and the resistor value responsible for this delay.</t>
  </si>
  <si>
    <t>Therefore if we assume the desired delay to be 1 hour or 3600 seconds, we can calculate it by substituting the values in the previous equation:</t>
  </si>
  <si>
    <t>https://www.homemade-circuits.com/how-to-make-simple-programmable-timer/</t>
  </si>
  <si>
    <t>300 / 3600 = 100 / x (unknown resistor)</t>
  </si>
  <si>
    <t>300x = 360000</t>
  </si>
  <si>
    <t>x = 1200 k or 1.2 Meg</t>
  </si>
  <si>
    <t>This shows that 1.2 Meg in place of the P1/R2 will produce the required delay of 1 hour at pin3 of a IC 4060</t>
  </si>
  <si>
    <t>Please note that the above calculation is only an example and the values do not indicate the actual results.</t>
  </si>
  <si>
    <t>Timing cycle calculation</t>
  </si>
  <si>
    <t>Time t = 2 n / f osc = Seconds</t>
  </si>
  <si>
    <t>f osc = 1 / 2.5 (R1XC1) = in Hertz</t>
  </si>
  <si>
    <t>R1 is the resistance at Pin 10 in Ohms and C1, the capacitor at Pin 9 in Farads.</t>
  </si>
  <si>
    <t>For example if R1 is 1M and C1 0.22 the basic frequency f osc is</t>
  </si>
  <si>
    <t>1 / 2.5(1,000,000 x 0.000,000 22) = 1.8 Hz</t>
  </si>
  <si>
    <t>n is the selected Q output number</t>
  </si>
  <si>
    <t>MegaOhm</t>
  </si>
  <si>
    <t>A ready reckoner for selecting the output to get a required time delay is given below.</t>
  </si>
  <si>
    <t>Time</t>
  </si>
  <si>
    <t>500K</t>
  </si>
  <si>
    <t>P1</t>
  </si>
  <si>
    <t>R2</t>
  </si>
  <si>
    <t>C1</t>
  </si>
  <si>
    <t>Delay</t>
  </si>
  <si>
    <t>220K</t>
  </si>
  <si>
    <t>0.47 +0.47</t>
  </si>
  <si>
    <t>1.2Hr to 4Hr</t>
  </si>
  <si>
    <t>30min to 2 Hr.</t>
  </si>
  <si>
    <t>47K</t>
  </si>
  <si>
    <t>100K</t>
  </si>
  <si>
    <t>10sec  to 30Sec</t>
  </si>
  <si>
    <t>https://dmohankumar.wordpress.com/2012/05/13/design-your-circuit-part-ii-cd-4060-timer/</t>
  </si>
  <si>
    <t>4Sec ( Full Anti clock wise), 14Sec(Full clock wise)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</si>
</sst>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.5"/>
      <color rgb="FF800000"/>
      <name val="Arial"/>
      <family val="2"/>
    </font>
    <font>
      <sz val="13"/>
      <color rgb="FF444444"/>
      <name val="Arial"/>
      <family val="2"/>
    </font>
    <font>
      <b/>
      <sz val="13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5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100853</xdr:colOff>
      <xdr:row>4</xdr:row>
      <xdr:rowOff>43143</xdr:rowOff>
    </xdr:from>
    <xdr:to>
      <xdr:col>24</xdr:col>
      <xdr:colOff>15128</xdr:colOff>
      <xdr:row>33</xdr:row>
      <xdr:rowOff>88767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503A5A-1C8A-4B9E-AB6E-C4EE317B5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7853" y="805143"/>
          <a:ext cx="4150098" cy="5827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257735</xdr:colOff>
      <xdr:row>46</xdr:row>
      <xdr:rowOff>33617</xdr:rowOff>
    </xdr:from>
    <xdr:to>
      <xdr:col>8</xdr:col>
      <xdr:colOff>1753160</xdr:colOff>
      <xdr:row>61</xdr:row>
      <xdr:rowOff>62192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066625-A469-467E-BCA2-3382B365E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3088" y="8381999"/>
          <a:ext cx="5002866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11204</xdr:colOff>
      <xdr:row>2</xdr:row>
      <xdr:rowOff>67235</xdr:rowOff>
    </xdr:from>
    <xdr:to>
      <xdr:col>17</xdr:col>
      <xdr:colOff>173129</xdr:colOff>
      <xdr:row>17</xdr:row>
      <xdr:rowOff>84604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70FFE1-088F-4D95-848B-289B35229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16" y="448235"/>
          <a:ext cx="5002866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mohankumar.wordpress.com/2012/05/13/design-your-circuit-part-ii-cd-4060-timer/" TargetMode="External"/><Relationship Id="rId1" Type="http://schemas.openxmlformats.org/officeDocument/2006/relationships/hyperlink" Target="https://www.homemade-circuits.com/how-to-make-simple-programmable-time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45"/>
  <sheetViews>
    <sheetView tabSelected="1" topLeftCell="A4" zoomScale="85" zoomScaleNormal="85" workbookViewId="0">
      <selection activeCell="I22" sqref="I22"/>
    </sheetView>
  </sheetViews>
  <sheetFormatPr defaultRowHeight="15" x14ac:dyDescent="0.25"/>
  <cols>
    <col min="7" max="7" width="11.28515625" customWidth="1"/>
    <col min="8" max="8" width="14.140625" customWidth="1"/>
    <col min="9" max="9" width="47.7109375" customWidth="1"/>
  </cols>
  <sheetData>
    <row r="2" spans="3:16" x14ac:dyDescent="0.25">
      <c r="D2" s="1" t="s">
        <v>22</v>
      </c>
      <c r="P2" s="1" t="s">
        <v>50</v>
      </c>
    </row>
    <row r="7" spans="3:16" x14ac:dyDescent="0.25">
      <c r="D7" t="s">
        <v>0</v>
      </c>
      <c r="E7" t="s">
        <v>1</v>
      </c>
      <c r="H7" t="s">
        <v>2</v>
      </c>
      <c r="J7" t="s">
        <v>28</v>
      </c>
    </row>
    <row r="9" spans="3:16" x14ac:dyDescent="0.25">
      <c r="D9" t="s">
        <v>3</v>
      </c>
      <c r="E9" s="8">
        <f>0.22+0</f>
        <v>0.22</v>
      </c>
      <c r="F9" t="s">
        <v>35</v>
      </c>
      <c r="J9" t="s">
        <v>29</v>
      </c>
    </row>
    <row r="10" spans="3:16" x14ac:dyDescent="0.25">
      <c r="D10" t="s">
        <v>5</v>
      </c>
      <c r="E10" s="8">
        <f>0.47+0.47</f>
        <v>0.94</v>
      </c>
      <c r="F10" t="s">
        <v>4</v>
      </c>
    </row>
    <row r="11" spans="3:16" x14ac:dyDescent="0.25">
      <c r="D11" t="s">
        <v>6</v>
      </c>
      <c r="E11">
        <v>4</v>
      </c>
      <c r="J11" t="s">
        <v>34</v>
      </c>
    </row>
    <row r="12" spans="3:16" x14ac:dyDescent="0.25">
      <c r="D12" t="s">
        <v>7</v>
      </c>
      <c r="E12">
        <v>14</v>
      </c>
    </row>
    <row r="13" spans="3:16" x14ac:dyDescent="0.25">
      <c r="D13" s="3"/>
      <c r="E13" s="3" t="s">
        <v>10</v>
      </c>
      <c r="F13" s="3" t="s">
        <v>11</v>
      </c>
      <c r="G13" s="3" t="s">
        <v>12</v>
      </c>
      <c r="H13" s="3"/>
      <c r="J13" t="s">
        <v>30</v>
      </c>
    </row>
    <row r="14" spans="3:16" x14ac:dyDescent="0.25">
      <c r="C14" t="s">
        <v>37</v>
      </c>
      <c r="D14" s="3" t="s">
        <v>8</v>
      </c>
      <c r="E14" s="6">
        <f>2*E11*2.5*$E$9*$E$10</f>
        <v>4.1360000000000001</v>
      </c>
      <c r="F14" s="4">
        <f>E14/60</f>
        <v>6.8933333333333333E-2</v>
      </c>
      <c r="G14" s="5">
        <f>F14/60</f>
        <v>1.148888888888889E-3</v>
      </c>
      <c r="H14" s="3"/>
    </row>
    <row r="15" spans="3:16" x14ac:dyDescent="0.25">
      <c r="D15" s="3" t="s">
        <v>9</v>
      </c>
      <c r="E15" s="3">
        <f>E14*2^10</f>
        <v>4235.2640000000001</v>
      </c>
      <c r="F15" s="4">
        <f>E15/60</f>
        <v>70.587733333333333</v>
      </c>
      <c r="G15" s="7">
        <f>F15/60</f>
        <v>1.1764622222222223</v>
      </c>
      <c r="H15" s="3"/>
      <c r="J15" t="s">
        <v>31</v>
      </c>
    </row>
    <row r="16" spans="3:16" ht="15.75" thickBot="1" x14ac:dyDescent="0.3"/>
    <row r="17" spans="4:12" x14ac:dyDescent="0.25">
      <c r="E17" s="10" t="s">
        <v>39</v>
      </c>
      <c r="F17" s="11" t="s">
        <v>40</v>
      </c>
      <c r="G17" s="11" t="s">
        <v>41</v>
      </c>
      <c r="H17" s="12" t="s">
        <v>42</v>
      </c>
      <c r="I17" s="24" t="s">
        <v>8</v>
      </c>
      <c r="J17" t="s">
        <v>32</v>
      </c>
    </row>
    <row r="18" spans="4:12" x14ac:dyDescent="0.25">
      <c r="E18" s="13" t="s">
        <v>38</v>
      </c>
      <c r="F18" s="9" t="s">
        <v>43</v>
      </c>
      <c r="G18" s="9">
        <v>0.47</v>
      </c>
      <c r="H18" s="14" t="s">
        <v>46</v>
      </c>
    </row>
    <row r="19" spans="4:12" ht="15.75" thickBot="1" x14ac:dyDescent="0.3">
      <c r="E19" s="15" t="s">
        <v>38</v>
      </c>
      <c r="F19" s="16" t="s">
        <v>43</v>
      </c>
      <c r="G19" s="16" t="s">
        <v>44</v>
      </c>
      <c r="H19" s="17" t="s">
        <v>45</v>
      </c>
      <c r="I19" s="25" t="s">
        <v>51</v>
      </c>
      <c r="J19" t="s">
        <v>33</v>
      </c>
    </row>
    <row r="20" spans="4:12" ht="15.75" thickBot="1" x14ac:dyDescent="0.3">
      <c r="E20" s="18"/>
      <c r="F20" s="18"/>
      <c r="G20" s="18"/>
      <c r="H20" s="18"/>
    </row>
    <row r="21" spans="4:12" x14ac:dyDescent="0.25">
      <c r="E21" s="10" t="s">
        <v>39</v>
      </c>
      <c r="F21" s="11" t="s">
        <v>40</v>
      </c>
      <c r="G21" s="11" t="s">
        <v>41</v>
      </c>
      <c r="H21" s="12" t="s">
        <v>42</v>
      </c>
    </row>
    <row r="22" spans="4:12" x14ac:dyDescent="0.25">
      <c r="E22" s="13" t="s">
        <v>48</v>
      </c>
      <c r="F22" s="9" t="s">
        <v>47</v>
      </c>
      <c r="G22" s="9">
        <v>0.01</v>
      </c>
      <c r="H22" s="14" t="s">
        <v>49</v>
      </c>
    </row>
    <row r="23" spans="4:12" ht="15.75" thickBot="1" x14ac:dyDescent="0.3">
      <c r="E23" s="15"/>
      <c r="F23" s="16"/>
      <c r="G23" s="16"/>
      <c r="H23" s="17"/>
    </row>
    <row r="25" spans="4:12" ht="17.25" x14ac:dyDescent="0.25">
      <c r="D25" s="20" t="s">
        <v>13</v>
      </c>
      <c r="E25" s="20"/>
      <c r="F25" s="20"/>
      <c r="G25" s="20"/>
      <c r="H25" s="20"/>
      <c r="I25" s="20"/>
      <c r="J25" s="20"/>
      <c r="K25" s="20"/>
      <c r="L25" s="20"/>
    </row>
    <row r="26" spans="4:12" ht="16.5" x14ac:dyDescent="0.25">
      <c r="D26" s="21" t="s">
        <v>14</v>
      </c>
      <c r="E26" s="21"/>
      <c r="F26" s="21"/>
      <c r="G26" s="21"/>
      <c r="H26" s="21"/>
      <c r="I26" s="21"/>
      <c r="J26" s="21"/>
      <c r="K26" s="21"/>
      <c r="L26" s="21"/>
    </row>
    <row r="27" spans="4:12" ht="16.5" x14ac:dyDescent="0.25">
      <c r="D27" s="21" t="s">
        <v>15</v>
      </c>
      <c r="E27" s="21"/>
      <c r="F27" s="21"/>
      <c r="G27" s="21"/>
      <c r="H27" s="21"/>
      <c r="I27" s="21"/>
      <c r="J27" s="21"/>
      <c r="K27" s="21"/>
      <c r="L27" s="21"/>
    </row>
    <row r="28" spans="4:12" ht="16.5" x14ac:dyDescent="0.25">
      <c r="D28" s="21" t="s">
        <v>16</v>
      </c>
      <c r="E28" s="21"/>
      <c r="F28" s="21"/>
      <c r="G28" s="21"/>
      <c r="H28" s="21"/>
      <c r="I28" s="21"/>
      <c r="J28" s="21"/>
      <c r="K28" s="21"/>
      <c r="L28" s="21"/>
    </row>
    <row r="29" spans="4:12" ht="16.5" x14ac:dyDescent="0.25">
      <c r="D29" s="21" t="s">
        <v>17</v>
      </c>
      <c r="E29" s="21"/>
      <c r="F29" s="21"/>
      <c r="G29" s="21"/>
      <c r="H29" s="21"/>
      <c r="I29" s="21"/>
      <c r="J29" s="21"/>
      <c r="K29" s="21"/>
      <c r="L29" s="21"/>
    </row>
    <row r="30" spans="4:12" ht="16.5" x14ac:dyDescent="0.25">
      <c r="D30" s="19" t="s">
        <v>18</v>
      </c>
      <c r="E30" s="19"/>
      <c r="F30" s="19"/>
      <c r="G30" s="19"/>
      <c r="H30" s="19"/>
      <c r="I30" s="19"/>
      <c r="J30" s="19"/>
      <c r="K30" s="19"/>
      <c r="L30" s="19"/>
    </row>
    <row r="31" spans="4:12" ht="16.5" x14ac:dyDescent="0.25">
      <c r="D31" s="21" t="s">
        <v>19</v>
      </c>
      <c r="E31" s="21"/>
      <c r="F31" s="21"/>
      <c r="G31" s="21"/>
      <c r="H31" s="21"/>
      <c r="I31" s="21"/>
      <c r="J31" s="21"/>
      <c r="K31" s="21"/>
      <c r="L31" s="21"/>
    </row>
    <row r="32" spans="4:12" ht="16.5" x14ac:dyDescent="0.25">
      <c r="D32" s="21" t="s">
        <v>20</v>
      </c>
      <c r="E32" s="21"/>
      <c r="F32" s="21"/>
      <c r="G32" s="21"/>
      <c r="H32" s="21"/>
      <c r="I32" s="21"/>
      <c r="J32" s="21"/>
      <c r="K32" s="21"/>
      <c r="L32" s="21"/>
    </row>
    <row r="33" spans="4:12" ht="16.5" x14ac:dyDescent="0.25">
      <c r="D33" s="21" t="s">
        <v>21</v>
      </c>
      <c r="E33" s="21"/>
      <c r="F33" s="21"/>
      <c r="G33" s="21"/>
      <c r="H33" s="21"/>
      <c r="I33" s="21"/>
      <c r="J33" s="21"/>
      <c r="K33" s="21"/>
      <c r="L33" s="21"/>
    </row>
    <row r="34" spans="4:12" ht="16.5" x14ac:dyDescent="0.25">
      <c r="D34" s="19" t="s">
        <v>18</v>
      </c>
      <c r="E34" s="19"/>
      <c r="F34" s="19"/>
      <c r="G34" s="19"/>
      <c r="H34" s="19"/>
      <c r="I34" s="19"/>
      <c r="J34" s="19"/>
      <c r="K34" s="19"/>
      <c r="L34" s="19"/>
    </row>
    <row r="35" spans="4:12" x14ac:dyDescent="0.25">
      <c r="D35" s="2"/>
      <c r="E35" s="2"/>
      <c r="F35" s="2"/>
      <c r="G35" s="2"/>
      <c r="H35" s="2"/>
      <c r="I35" s="2"/>
      <c r="J35" s="2"/>
      <c r="K35" s="2"/>
      <c r="L35" s="2"/>
    </row>
    <row r="36" spans="4:12" ht="16.5" x14ac:dyDescent="0.25">
      <c r="D36" s="21" t="s">
        <v>23</v>
      </c>
      <c r="E36" s="21"/>
      <c r="F36" s="21"/>
      <c r="G36" s="21"/>
      <c r="H36" s="21"/>
      <c r="I36" s="21"/>
      <c r="J36" s="21"/>
      <c r="K36" s="21"/>
      <c r="L36" s="21"/>
    </row>
    <row r="37" spans="4:12" ht="16.5" x14ac:dyDescent="0.25">
      <c r="D37" s="21" t="s">
        <v>24</v>
      </c>
      <c r="E37" s="21"/>
      <c r="F37" s="21"/>
      <c r="G37" s="21"/>
      <c r="H37" s="21"/>
      <c r="I37" s="21"/>
      <c r="J37" s="21"/>
      <c r="K37" s="21"/>
      <c r="L37" s="21"/>
    </row>
    <row r="38" spans="4:12" ht="16.5" x14ac:dyDescent="0.25">
      <c r="D38" s="21" t="s">
        <v>25</v>
      </c>
      <c r="E38" s="21"/>
      <c r="F38" s="21"/>
      <c r="G38" s="21"/>
      <c r="H38" s="21"/>
      <c r="I38" s="21"/>
      <c r="J38" s="21"/>
      <c r="K38" s="21"/>
      <c r="L38" s="21"/>
    </row>
    <row r="40" spans="4:12" ht="16.5" x14ac:dyDescent="0.25">
      <c r="D40" s="22" t="s">
        <v>26</v>
      </c>
      <c r="E40" s="22"/>
      <c r="F40" s="22"/>
      <c r="G40" s="22"/>
      <c r="H40" s="22"/>
      <c r="I40" s="22"/>
      <c r="J40" s="22"/>
      <c r="K40" s="22"/>
      <c r="L40" s="22"/>
    </row>
    <row r="41" spans="4:12" ht="16.5" x14ac:dyDescent="0.25">
      <c r="D41" s="23" t="s">
        <v>27</v>
      </c>
      <c r="E41" s="23"/>
      <c r="F41" s="23"/>
      <c r="G41" s="23"/>
      <c r="H41" s="23"/>
      <c r="I41" s="23"/>
      <c r="J41" s="23"/>
      <c r="K41" s="23"/>
      <c r="L41" s="23"/>
    </row>
    <row r="45" spans="4:12" x14ac:dyDescent="0.25">
      <c r="D45" t="s">
        <v>36</v>
      </c>
    </row>
  </sheetData>
  <mergeCells count="15">
    <mergeCell ref="D38:L38"/>
    <mergeCell ref="D40:L40"/>
    <mergeCell ref="D41:L41"/>
    <mergeCell ref="D31:L31"/>
    <mergeCell ref="D32:L32"/>
    <mergeCell ref="D33:L33"/>
    <mergeCell ref="D34:L34"/>
    <mergeCell ref="D36:L36"/>
    <mergeCell ref="D37:L37"/>
    <mergeCell ref="D30:L30"/>
    <mergeCell ref="D25:L25"/>
    <mergeCell ref="D26:L26"/>
    <mergeCell ref="D27:L27"/>
    <mergeCell ref="D28:L28"/>
    <mergeCell ref="D29:L29"/>
  </mergeCells>
  <hyperlinks>
    <hyperlink ref="D2" r:id="rId1" xr:uid="{A523A5A6-1D09-4703-9603-98713F791331}"/>
    <hyperlink ref="P2" r:id="rId2" xr:uid="{61DE8920-B613-4979-BA63-93B5095C131E}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2020-12-16T11:01:35Z</dcterms:modified>
</cp:coreProperties>
</file>